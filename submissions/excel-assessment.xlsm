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ritika.singh\Downloads\"/>
    </mc:Choice>
  </mc:AlternateContent>
  <xr:revisionPtr revIDLastSave="0" documentId="13_ncr:1_{41C9936B-C2FE-49CF-9EF6-12191BA88BB2}" xr6:coauthVersionLast="47" xr6:coauthVersionMax="47" xr10:uidLastSave="{00000000-0000-0000-0000-000000000000}"/>
  <bookViews>
    <workbookView xWindow="-110" yWindow="-110" windowWidth="19420" windowHeight="1030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Dataset!$X:$X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28" i="18"/>
  <c r="B29" i="18" s="1"/>
  <c r="B30" i="18" s="1"/>
  <c r="H1048576" i="1"/>
  <c r="C24" i="20"/>
  <c r="C22" i="19"/>
  <c r="C23" i="20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<sst xmlns="http://schemas.openxmlformats.org/spreadsheetml/2006/main" count="404" uniqueCount="181">
  <si>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</si>
  <si>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</si>
  <si>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</si>
  <si>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</si>
  <si>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</si>
  <si>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</si>
  <si>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</si>
  <si>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</si>
  <si>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</si>
  <si>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</si>
  <si>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</si>
  <si>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</si>
  <si>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</si>
  <si>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</si>
  <si>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</si>
  <si>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</si>
  <si>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</si>
  <si>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</si>
  <si>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</si>
  <si>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</si>
  <si>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</si>
  <si>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</si>
  <si>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</si>
  <si>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</si>
  <si>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</si>
  <si>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</si>
  <si>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</si>
  <si>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</si>
  <si>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</si>
  <si>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</si>
  <si>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</si>
  <si>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</si>
  <si>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</si>
  <si>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</si>
  <si>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</si>
  <si>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</si>
  <si>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</si>
  <si>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</si>
  <si>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</si>
  <si>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</si>
  <si>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</si>
  <si>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</si>
  <si>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</si>
  <si>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</si>
  <si>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</si>
  <si>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</si>
  <si>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</si>
  <si>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</si>
  <si>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</si>
  <si>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</si>
  <si>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</si>
  <si>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</si>
  <si>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</si>
  <si>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</si>
  <si>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</si>
  <si>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</si>
  <si>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</si>
  <si>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</si>
  <si>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</si>
  <si>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</si>
  <si>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</si>
  <si>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</si>
  <si>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</si>
  <si>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</si>
  <si>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</si>
  <si>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</si>
  <si>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</si>
  <si>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</si>
  <si>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</si>
  <si>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</si>
  <si>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</si>
  <si>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</si>
  <si>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</si>
  <si>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</si>
  <si>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</si>
  <si>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</si>
  <si>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</si>
  <si>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</si>
  <si>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</si>
  <si>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</si>
  <si>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</si>
  <si>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</si>
  <si>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</si>
  <si>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</si>
  <si>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</si>
  <si>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</si>
  <si>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</si>
  <si>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</si>
  <si>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</si>
  <si>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</si>
  <si>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</si>
  <si>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</si>
  <si>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</si>
  <si>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</si>
  <si>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</si>
  <si>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</si>
  <si>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</si>
  <si>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</si>
  <si>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</si>
  <si>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</si>
  <si>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</si>
  <si>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</si>
  <si>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</si>
  <si>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</si>
  <si>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</si>
  <si>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</si>
  <si>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</si>
  <si>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</si>
  <si>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</si>
  <si>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</si>
  <si>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</si>
  <si>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</si>
  <si>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</si>
  <si>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</si>
  <si>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</si>
  <si>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</si>
  <si>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</si>
  <si>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</si>
  <si>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</si>
  <si>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</si>
  <si>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</si>
  <si>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</si>
  <si>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</si>
  <si>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</si>
  <si>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</si>
  <si>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</si>
  <si>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</si>
  <si>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</si>
  <si>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</si>
  <si>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</si>
  <si>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</si>
  <si>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</si>
  <si>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</si>
  <si>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</si>
  <si>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</si>
  <si>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</si>
  <si>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</si>
  <si>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</si>
  <si>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</si>
  <si>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</si>
  <si>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</si>
  <si>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</si>
  <si>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</si>
  <si>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</si>
  <si>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</si>
  <si>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</si>
  <si>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</si>
  <si>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</si>
  <si>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</si>
  <si>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</si>
  <si>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</si>
  <si>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</si>
  <si>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</si>
  <si>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</si>
  <si>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</si>
  <si>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</si>
  <si>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</si>
  <si>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</si>
  <si>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</si>
  <si>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</si>
  <si>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</si>
  <si>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</si>
  <si>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</si>
  <si>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</si>
  <si>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</si>
  <si>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</si>
  <si>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</si>
  <si>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</si>
  <si>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</si>
  <si>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</si>
  <si>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</si>
  <si>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</si>
  <si>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</si>
  <si>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</si>
  <si>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</si>
  <si>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</si>
  <si>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Column1</t>
  </si>
  <si>
    <t xml:space="preserve">Select values coloumn then go to ribbion where data tab then where I got text to coloumn converter by spliting all the values of with Dash then shift to every sub-values of cell to specific cell. </t>
  </si>
  <si>
    <t>Select coloumn go to data tab of ribbion and by using text to coloumn convert all values.</t>
  </si>
  <si>
    <t>All 20 values must be substituted with the value '20'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</si>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</sst>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7" fillId="0" borderId="0" xfId="0" applyNumberFormat="1" applyFont="1" applyAlignment="1">
      <alignment horizontal="left" vertical="center" wrapText="1"/>
    </xf>
    <xf numFmtId="165" fontId="3" fillId="0" borderId="0" xfId="0" applyNumberFormat="1" applyFont="1" applyAlignment="1">
      <alignment horizontal="left" vertical="center" wrapText="1"/>
    </xf>
    <xf numFmtId="49" fontId="3" fillId="0" borderId="0" xfId="0" applyNumberFormat="1" applyFont="1"/>
    <xf numFmtId="0" fontId="3" fillId="0" borderId="1" xfId="0" applyFont="1" applyBorder="1" applyAlignme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" formatCode="0"/>
      <fill>
        <patternFill>
          <bgColor rgb="FFFF0000"/>
        </patternFill>
      </fill>
    </dxf>
    <dxf>
      <fill>
        <patternFill>
          <bgColor theme="1" tint="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DC6D0C-12BC-4E52-B79B-944101C5C30F}" name="Table1" displayName="Table1" ref="A9:J18" totalsRowShown="0" headerRowDxfId="21" dataDxfId="22" headerRowBorderDxfId="34" tableBorderDxfId="35" totalsRowBorderDxfId="33">
  <autoFilter ref="A9:J18" xr:uid="{D4DC6D0C-12BC-4E52-B79B-944101C5C30F}"/>
  <tableColumns count="10">
    <tableColumn id="1" xr3:uid="{7818AE28-2B41-4C3F-ADFD-63B3AF754E42}" name="Column1" dataDxfId="32"/>
    <tableColumn id="2" xr3:uid="{497B9849-CC75-415B-A978-DF7C4EAF2E52}" name="A" dataDxfId="31"/>
    <tableColumn id="3" xr3:uid="{611E8A83-AB0B-492E-919B-9F33DA3FFC54}" name="B" dataDxfId="30"/>
    <tableColumn id="4" xr3:uid="{F4539F9B-B2F2-46F3-BB02-721ED9F17D3C}" name="C" dataDxfId="29"/>
    <tableColumn id="5" xr3:uid="{38D9598A-D132-42A4-A2FB-CBF06C0A1ED2}" name="D" dataDxfId="28"/>
    <tableColumn id="6" xr3:uid="{0E568953-D8EA-4D17-9BD0-B1244A609CA6}" name="E" dataDxfId="27"/>
    <tableColumn id="7" xr3:uid="{708A604A-3EE8-4FB2-A078-FFEF4BB25566}" name="F" dataDxfId="26"/>
    <tableColumn id="8" xr3:uid="{56557A23-37F0-4241-8892-14D2E2AF5B90}" name="G" dataDxfId="25"/>
    <tableColumn id="9" xr3:uid="{6F77E7F9-D708-4DE9-9B76-1D1D942BB90B}" name="H" dataDxfId="24"/>
    <tableColumn id="10" xr3:uid="{EFC128C7-D724-4C79-AE4B-FF1BCD7899D6}" name="I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975108-D591-4641-96AC-B0FF2366A7AE}" name="Table2" displayName="Table2" ref="M9:N18" totalsRowShown="0" headerRowDxfId="16" headerRowBorderDxfId="19" tableBorderDxfId="20">
  <autoFilter ref="M9:N18" xr:uid="{B8975108-D591-4641-96AC-B0FF2366A7AE}"/>
  <tableColumns count="2">
    <tableColumn id="1" xr3:uid="{51897144-5A23-4CEE-A7E3-3A6002183D22}" name="ID" dataDxfId="18"/>
    <tableColumn id="2" xr3:uid="{09615A8A-A888-4A4D-90A9-6EA06F9DC942}" name="Name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1048576"/>
  <sheetViews>
    <sheetView topLeftCell="C1" zoomScale="94" zoomScaleNormal="46" workbookViewId="0">
      <pane ySplit="1" topLeftCell="A32" activePane="bottomLeft" state="frozen"/>
      <selection pane="bottomLeft" activeCell="U23" sqref="U2:U2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7.69921875" style="47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3.6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3.6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3.6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1048576" spans="8:8" x14ac:dyDescent="0.35">
      <c r="H1048576" s="1">
        <f>SUM(H2:H1048575)</f>
        <v>1530.5000000000002</v>
      </c>
    </row>
  </sheetData>
  <conditionalFormatting sqref="I6">
    <cfRule type="cellIs" dxfId="9" priority="2" operator="between">
      <formula>0</formula>
      <formula>-1</formula>
    </cfRule>
  </conditionalFormatting>
  <conditionalFormatting sqref="A2:X40">
    <cfRule type="cellIs" dxfId="8" priority="1" operator="between">
      <formula>0</formula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 t="s">
        <v>180</v>
      </c>
      <c r="E4" s="1">
        <v>5</v>
      </c>
    </row>
    <row r="5" spans="1:5" x14ac:dyDescent="0.35">
      <c r="A5" s="6">
        <v>3</v>
      </c>
      <c r="B5" s="2" t="s">
        <v>104</v>
      </c>
      <c r="C5" s="34">
        <f ca="1">SUMIFS(H:H, G:G, "car2", H:H, "&gt;20")</f>
        <v>0</v>
      </c>
      <c r="E5" s="1">
        <v>10</v>
      </c>
    </row>
    <row r="6" spans="1:5" x14ac:dyDescent="0.35">
      <c r="A6" s="6">
        <v>4</v>
      </c>
      <c r="B6" s="2" t="s">
        <v>106</v>
      </c>
      <c r="C6" s="2" t="s">
        <v>180</v>
      </c>
      <c r="E6" s="1">
        <v>5</v>
      </c>
    </row>
    <row r="7" spans="1:5" x14ac:dyDescent="0.35">
      <c r="A7" s="2"/>
      <c r="B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9" zoomScaleNormal="100" workbookViewId="0">
      <selection activeCell="H28" sqref="H28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">
        <v>2.7</v>
      </c>
      <c r="C6" s="1">
        <v>3.6</v>
      </c>
      <c r="D6" s="1">
        <v>4.2</v>
      </c>
      <c r="E6" s="1">
        <v>8.9</v>
      </c>
      <c r="F6" s="1">
        <v>3.6</v>
      </c>
    </row>
    <row r="7" spans="1:7" ht="14.5" x14ac:dyDescent="0.35">
      <c r="A7" s="7" t="s">
        <v>4</v>
      </c>
      <c r="B7" s="1">
        <v>2.7</v>
      </c>
      <c r="C7" s="1">
        <v>3.6</v>
      </c>
      <c r="D7" s="1">
        <v>4.2</v>
      </c>
      <c r="E7" s="1">
        <v>8.9</v>
      </c>
      <c r="F7" s="1">
        <v>3.6</v>
      </c>
    </row>
    <row r="8" spans="1:7" ht="14.5" x14ac:dyDescent="0.35">
      <c r="A8" s="7" t="s">
        <v>7</v>
      </c>
      <c r="B8" s="1">
        <v>3.6</v>
      </c>
      <c r="C8" s="1">
        <v>3.6</v>
      </c>
      <c r="D8" s="1">
        <v>5.8</v>
      </c>
      <c r="E8" s="1">
        <v>12.2</v>
      </c>
      <c r="F8" s="1">
        <v>5.4</v>
      </c>
    </row>
    <row r="9" spans="1:7" ht="14.5" x14ac:dyDescent="0.35">
      <c r="A9" s="7" t="s">
        <v>8</v>
      </c>
      <c r="B9" s="1">
        <v>4.9000000000000004</v>
      </c>
      <c r="C9" s="1">
        <v>3.6</v>
      </c>
      <c r="D9" s="1">
        <v>8.1</v>
      </c>
      <c r="E9" s="1">
        <v>17</v>
      </c>
      <c r="F9" s="1">
        <v>6.6</v>
      </c>
    </row>
    <row r="10" spans="1:7" ht="14.5" x14ac:dyDescent="0.35">
      <c r="A10" s="7" t="s">
        <v>11</v>
      </c>
      <c r="B10" s="1">
        <v>6.6</v>
      </c>
      <c r="C10" s="1">
        <v>3.6</v>
      </c>
      <c r="D10" s="1">
        <v>11</v>
      </c>
      <c r="E10" s="1">
        <v>22.5</v>
      </c>
      <c r="F10" s="1">
        <v>8.8000000000000007</v>
      </c>
    </row>
    <row r="11" spans="1:7" ht="14.5" x14ac:dyDescent="0.35">
      <c r="A11" s="7" t="s">
        <v>12</v>
      </c>
      <c r="B11" s="1">
        <v>7.1</v>
      </c>
      <c r="C11" s="1">
        <v>10.4</v>
      </c>
      <c r="D11" s="1">
        <v>12.8</v>
      </c>
      <c r="E11" s="1">
        <v>26.1</v>
      </c>
      <c r="F11" s="1">
        <v>10.4</v>
      </c>
    </row>
    <row r="12" spans="1:7" ht="14.5" x14ac:dyDescent="0.35">
      <c r="A12" s="7" t="s">
        <v>14</v>
      </c>
      <c r="B12" s="1">
        <v>9.4</v>
      </c>
      <c r="C12" s="1">
        <v>13.8</v>
      </c>
      <c r="D12" s="1">
        <v>16.100000000000001</v>
      </c>
      <c r="E12" s="1">
        <v>32.799999999999997</v>
      </c>
      <c r="F12" s="1">
        <v>13.8</v>
      </c>
    </row>
    <row r="13" spans="1:7" ht="14.5" x14ac:dyDescent="0.35">
      <c r="A13" s="7" t="s">
        <v>15</v>
      </c>
      <c r="B13" s="1">
        <v>11.6</v>
      </c>
      <c r="C13" s="1">
        <v>17.3</v>
      </c>
      <c r="D13" s="1">
        <v>21.3</v>
      </c>
      <c r="E13" s="1">
        <v>43</v>
      </c>
      <c r="F13" s="1">
        <v>17.3</v>
      </c>
    </row>
    <row r="14" spans="1:7" ht="14.5" x14ac:dyDescent="0.35">
      <c r="A14" s="7" t="s">
        <v>16</v>
      </c>
      <c r="B14" s="1">
        <v>16.100000000000001</v>
      </c>
      <c r="C14" s="1">
        <v>24.1</v>
      </c>
      <c r="D14" s="1">
        <v>29.1</v>
      </c>
      <c r="E14" s="1">
        <v>59</v>
      </c>
      <c r="F14" s="1">
        <v>24.1</v>
      </c>
    </row>
    <row r="15" spans="1:7" ht="14.5" x14ac:dyDescent="0.35">
      <c r="A15" s="7" t="s">
        <v>18</v>
      </c>
      <c r="B15" s="1">
        <v>18.399999999999999</v>
      </c>
      <c r="C15" s="1">
        <v>27.5</v>
      </c>
      <c r="D15" s="1">
        <v>33.799999999999997</v>
      </c>
      <c r="E15" s="1">
        <v>67.900000000000006</v>
      </c>
      <c r="F15" s="1">
        <v>27.5</v>
      </c>
    </row>
    <row r="16" spans="1:7" ht="14.5" x14ac:dyDescent="0.35">
      <c r="A16" s="7" t="s">
        <v>20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</row>
    <row r="17" spans="1:6" ht="14.5" x14ac:dyDescent="0.35">
      <c r="A17" s="7" t="s">
        <v>22</v>
      </c>
      <c r="B17" s="1">
        <v>21.9</v>
      </c>
      <c r="C17" s="1">
        <v>32.1</v>
      </c>
      <c r="D17" s="1">
        <v>40.1</v>
      </c>
      <c r="E17" s="1">
        <v>76.599999999999994</v>
      </c>
      <c r="F17" s="1">
        <v>32.1</v>
      </c>
    </row>
    <row r="18" spans="1:6" ht="14.5" x14ac:dyDescent="0.35">
      <c r="A18" s="7" t="s">
        <v>23</v>
      </c>
      <c r="B18" s="1">
        <v>23.5</v>
      </c>
      <c r="C18" s="1">
        <v>34.700000000000003</v>
      </c>
      <c r="D18" s="1">
        <v>42.7</v>
      </c>
      <c r="E18" s="1">
        <v>86.6</v>
      </c>
      <c r="F18" s="1">
        <v>34.700000000000003</v>
      </c>
    </row>
    <row r="19" spans="1:6" ht="14.5" x14ac:dyDescent="0.35">
      <c r="A19" s="7" t="s">
        <v>24</v>
      </c>
      <c r="B19" s="1">
        <v>26.8</v>
      </c>
      <c r="C19" s="1">
        <v>39.299999999999997</v>
      </c>
      <c r="D19" s="1">
        <v>47.9</v>
      </c>
      <c r="E19" s="1">
        <v>96.8</v>
      </c>
      <c r="F19" s="1">
        <v>39.299999999999997</v>
      </c>
    </row>
    <row r="20" spans="1:6" ht="14.5" x14ac:dyDescent="0.35">
      <c r="A20" s="7" t="s">
        <v>28</v>
      </c>
      <c r="B20" s="1">
        <v>28</v>
      </c>
      <c r="C20" s="1">
        <v>41</v>
      </c>
      <c r="D20" s="1">
        <v>50.1</v>
      </c>
      <c r="E20" s="1">
        <v>101.3</v>
      </c>
      <c r="F20" s="1">
        <v>41</v>
      </c>
    </row>
    <row r="21" spans="1:6" ht="14.5" x14ac:dyDescent="0.35">
      <c r="A21" s="7" t="s">
        <v>57</v>
      </c>
      <c r="B21" s="1">
        <v>28.5</v>
      </c>
      <c r="C21" s="1">
        <v>42.3</v>
      </c>
      <c r="D21" s="1">
        <v>52.3</v>
      </c>
      <c r="E21" s="1">
        <v>106.1</v>
      </c>
      <c r="F21" s="1">
        <v>42.3</v>
      </c>
    </row>
    <row r="22" spans="1:6" ht="14.5" x14ac:dyDescent="0.35">
      <c r="A22" s="7" t="s">
        <v>58</v>
      </c>
      <c r="B22" s="1">
        <v>29.1</v>
      </c>
      <c r="C22" s="1">
        <v>43.3</v>
      </c>
      <c r="D22" s="1">
        <v>53.7</v>
      </c>
      <c r="E22" s="1">
        <v>108.8</v>
      </c>
      <c r="F22" s="1">
        <v>43.3</v>
      </c>
    </row>
    <row r="23" spans="1:6" ht="14.5" x14ac:dyDescent="0.35">
      <c r="A23" s="7" t="s">
        <v>31</v>
      </c>
      <c r="B23" s="1">
        <v>30.7</v>
      </c>
      <c r="C23" s="1">
        <v>45.5</v>
      </c>
      <c r="D23" s="1">
        <v>57</v>
      </c>
      <c r="E23" s="1">
        <v>115.1</v>
      </c>
      <c r="F23" s="1">
        <v>45.5</v>
      </c>
    </row>
    <row r="24" spans="1:6" ht="14.5" x14ac:dyDescent="0.35">
      <c r="A24" s="7" t="s">
        <v>32</v>
      </c>
      <c r="B24" s="1">
        <v>33.799999999999997</v>
      </c>
      <c r="C24" s="1">
        <v>50.1</v>
      </c>
      <c r="D24" s="1">
        <v>61.4</v>
      </c>
      <c r="E24" s="1">
        <v>124.4</v>
      </c>
      <c r="F24" s="1">
        <v>50.1</v>
      </c>
    </row>
    <row r="25" spans="1:6" ht="14.5" x14ac:dyDescent="0.35">
      <c r="A25" s="7" t="s">
        <v>34</v>
      </c>
      <c r="B25" s="1">
        <v>34.700000000000003</v>
      </c>
      <c r="C25" s="1">
        <v>52.3</v>
      </c>
      <c r="D25" s="1">
        <v>63.6</v>
      </c>
      <c r="E25" s="1">
        <v>128.6</v>
      </c>
      <c r="F25" s="1">
        <v>52.3</v>
      </c>
    </row>
    <row r="26" spans="1:6" ht="14.5" x14ac:dyDescent="0.35">
      <c r="A26" s="7" t="s">
        <v>37</v>
      </c>
      <c r="B26" s="1">
        <v>36.5</v>
      </c>
      <c r="C26" s="1">
        <v>54.6</v>
      </c>
      <c r="D26" s="1">
        <v>65.900000000000006</v>
      </c>
      <c r="E26" s="1">
        <v>133.4</v>
      </c>
      <c r="F26" s="1">
        <v>54.6</v>
      </c>
    </row>
    <row r="27" spans="1:6" ht="14.5" x14ac:dyDescent="0.35">
      <c r="A27" s="7" t="s">
        <v>39</v>
      </c>
      <c r="B27" s="1">
        <v>38</v>
      </c>
      <c r="C27" s="1">
        <v>57.2</v>
      </c>
      <c r="D27" s="1">
        <v>68.7</v>
      </c>
      <c r="E27" s="12">
        <v>138.80000000000001</v>
      </c>
      <c r="F27" s="1">
        <v>57.2</v>
      </c>
    </row>
    <row r="28" spans="1:6" ht="14.5" x14ac:dyDescent="0.35">
      <c r="A28" s="19" t="s">
        <v>82</v>
      </c>
      <c r="B28" s="31">
        <f>MIN(B6:B27)</f>
        <v>0</v>
      </c>
      <c r="C28" s="31">
        <f t="shared" ref="C28:F28" si="0">MIN(C6:C27)</f>
        <v>0</v>
      </c>
      <c r="D28" s="31">
        <f t="shared" si="0"/>
        <v>0</v>
      </c>
      <c r="E28" s="31">
        <f t="shared" si="0"/>
        <v>0</v>
      </c>
      <c r="F28" s="31">
        <f t="shared" si="0"/>
        <v>0</v>
      </c>
    </row>
    <row r="29" spans="1:6" ht="14.5" x14ac:dyDescent="0.35">
      <c r="A29" s="19" t="s">
        <v>83</v>
      </c>
      <c r="B29" s="31">
        <f>MAX(B6:B28)</f>
        <v>38</v>
      </c>
      <c r="C29" s="31">
        <f t="shared" ref="C29:F29" si="1">MAX(C6:C28)</f>
        <v>57.2</v>
      </c>
      <c r="D29" s="31">
        <f t="shared" si="1"/>
        <v>68.7</v>
      </c>
      <c r="E29" s="31">
        <f t="shared" si="1"/>
        <v>138.80000000000001</v>
      </c>
      <c r="F29" s="31">
        <f t="shared" si="1"/>
        <v>57.2</v>
      </c>
    </row>
    <row r="30" spans="1:6" ht="14.5" x14ac:dyDescent="0.35">
      <c r="A30" s="19" t="s">
        <v>84</v>
      </c>
      <c r="B30" s="31">
        <f>AVERAGE(B6:B29)</f>
        <v>18.858333333333334</v>
      </c>
      <c r="C30" s="31">
        <f t="shared" ref="C30:F30" si="2">AVERAGE(C6:C29)</f>
        <v>27.529166666666672</v>
      </c>
      <c r="D30" s="31">
        <f t="shared" si="2"/>
        <v>34.104166666666671</v>
      </c>
      <c r="E30" s="31">
        <f t="shared" si="2"/>
        <v>68.899999999999991</v>
      </c>
      <c r="F30" s="31">
        <f t="shared" si="2"/>
        <v>27.94583333333334</v>
      </c>
    </row>
  </sheetData>
  <conditionalFormatting sqref="B6:B27">
    <cfRule type="cellIs" dxfId="5" priority="5" operator="between">
      <formula>0</formula>
      <formula>-1</formula>
    </cfRule>
  </conditionalFormatting>
  <conditionalFormatting sqref="C6:C27">
    <cfRule type="cellIs" dxfId="4" priority="4" operator="between">
      <formula>0</formula>
      <formula>-1</formula>
    </cfRule>
  </conditionalFormatting>
  <conditionalFormatting sqref="D6:D27">
    <cfRule type="cellIs" dxfId="3" priority="3" operator="between">
      <formula>0</formula>
      <formula>-1</formula>
    </cfRule>
  </conditionalFormatting>
  <conditionalFormatting sqref="E6:E26">
    <cfRule type="cellIs" dxfId="2" priority="2" operator="between">
      <formula>0</formula>
      <formula>-1</formula>
    </cfRule>
  </conditionalFormatting>
  <conditionalFormatting sqref="F6:F27">
    <cfRule type="cellIs" dxfId="0" priority="1" operator="between">
      <formula>0</formula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B5" sqref="B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 t="s">
        <v>178</v>
      </c>
    </row>
    <row r="6" spans="1:10" ht="18.5" x14ac:dyDescent="0.45">
      <c r="A6" s="43" t="s">
        <v>153</v>
      </c>
      <c r="B6" s="40" t="s">
        <v>177</v>
      </c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H11" s="2"/>
      <c r="I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">
        <v>24</v>
      </c>
    </row>
    <row r="33" spans="1:10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  <c r="G33" s="48"/>
      <c r="I33" s="48"/>
    </row>
    <row r="34" spans="1:10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  <c r="G34" s="48"/>
      <c r="I34" s="48"/>
    </row>
    <row r="35" spans="1:10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  <c r="G35" s="48"/>
      <c r="I35" s="48"/>
    </row>
    <row r="36" spans="1:10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  <c r="G36" s="48"/>
      <c r="I36" s="48"/>
    </row>
    <row r="37" spans="1:10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  <c r="G37" s="48"/>
      <c r="I37" s="48"/>
    </row>
    <row r="38" spans="1:10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  <c r="G38" s="48"/>
      <c r="I38" s="48"/>
    </row>
    <row r="39" spans="1:10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  <c r="G39" s="48"/>
      <c r="I39" s="48"/>
    </row>
    <row r="40" spans="1:10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  <c r="G40" s="48"/>
      <c r="I40" s="48"/>
    </row>
    <row r="41" spans="1:10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  <c r="G41" s="48"/>
      <c r="I41" s="48"/>
    </row>
    <row r="42" spans="1:10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  <c r="G42" s="48"/>
      <c r="I42" s="48"/>
    </row>
    <row r="43" spans="1:10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  <c r="G43" s="48"/>
      <c r="I43" s="48"/>
      <c r="J43"/>
    </row>
    <row r="44" spans="1:10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  <c r="G44" s="48"/>
      <c r="I44" s="48"/>
    </row>
    <row r="45" spans="1:10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  <c r="G45" s="48"/>
      <c r="I45" s="48"/>
    </row>
    <row r="46" spans="1:10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  <c r="G46" s="48"/>
      <c r="I46" s="48"/>
    </row>
    <row r="47" spans="1:10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  <c r="G47" s="48"/>
      <c r="I47" s="48"/>
    </row>
    <row r="48" spans="1:10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  <c r="G48" s="48"/>
      <c r="I48" s="48"/>
    </row>
    <row r="49" spans="1:9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  <c r="G49" s="48"/>
      <c r="I49" s="48"/>
    </row>
    <row r="50" spans="1:9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  <c r="G50" s="48"/>
      <c r="I50" s="48"/>
    </row>
    <row r="51" spans="1:9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  <c r="G51" s="48"/>
      <c r="I51" s="48"/>
    </row>
    <row r="52" spans="1:9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9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9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17" sqref="E17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166</v>
      </c>
    </row>
    <row r="2" spans="1:3" ht="18.5" x14ac:dyDescent="0.45">
      <c r="B2" s="40" t="s">
        <v>179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/>
    </row>
    <row r="7" spans="1:3" ht="14.5" x14ac:dyDescent="0.35">
      <c r="A7" s="3" t="s">
        <v>153</v>
      </c>
      <c r="B7" s="1"/>
    </row>
    <row r="10" spans="1:3" ht="23.5" x14ac:dyDescent="0.55000000000000004">
      <c r="A10" s="18" t="s">
        <v>162</v>
      </c>
    </row>
    <row r="11" spans="1:3" ht="14.5" x14ac:dyDescent="0.35">
      <c r="A11" s="32" t="s">
        <v>86</v>
      </c>
      <c r="B11" s="17" t="s">
        <v>87</v>
      </c>
      <c r="C11" s="17" t="s">
        <v>88</v>
      </c>
    </row>
    <row r="12" spans="1:3" ht="14.5" x14ac:dyDescent="0.35">
      <c r="A12" s="32">
        <v>44927</v>
      </c>
      <c r="B12" s="17" t="s">
        <v>59</v>
      </c>
      <c r="C12" s="49">
        <v>200</v>
      </c>
    </row>
    <row r="13" spans="1:3" ht="14.5" x14ac:dyDescent="0.35">
      <c r="A13" s="32">
        <v>44928</v>
      </c>
      <c r="B13" s="17" t="s">
        <v>60</v>
      </c>
      <c r="C13" s="49">
        <v>20</v>
      </c>
    </row>
    <row r="14" spans="1:3" ht="14.5" x14ac:dyDescent="0.35">
      <c r="A14" s="32">
        <v>44929</v>
      </c>
      <c r="B14" s="17" t="s">
        <v>61</v>
      </c>
      <c r="C14" s="49">
        <v>50</v>
      </c>
    </row>
    <row r="15" spans="1:3" ht="14.5" x14ac:dyDescent="0.35">
      <c r="A15" s="32">
        <v>44930</v>
      </c>
      <c r="B15" s="17" t="s">
        <v>62</v>
      </c>
      <c r="C15" s="49">
        <v>20</v>
      </c>
    </row>
    <row r="16" spans="1:3" ht="14.5" x14ac:dyDescent="0.35">
      <c r="A16" s="32">
        <v>44931</v>
      </c>
      <c r="B16" s="17" t="s">
        <v>63</v>
      </c>
      <c r="C16" s="49">
        <v>10</v>
      </c>
    </row>
    <row r="17" spans="1:3" ht="14.5" x14ac:dyDescent="0.35">
      <c r="A17" s="32">
        <v>44932</v>
      </c>
      <c r="B17" s="17" t="s">
        <v>154</v>
      </c>
      <c r="C17" s="49">
        <v>150</v>
      </c>
    </row>
    <row r="18" spans="1:3" ht="14.5" x14ac:dyDescent="0.35">
      <c r="A18" s="32">
        <v>44933</v>
      </c>
      <c r="B18" s="17" t="s">
        <v>155</v>
      </c>
      <c r="C18" s="49">
        <v>80</v>
      </c>
    </row>
    <row r="19" spans="1:3" ht="14.5" x14ac:dyDescent="0.35">
      <c r="A19" s="32">
        <v>44934</v>
      </c>
      <c r="B19" s="17" t="s">
        <v>156</v>
      </c>
      <c r="C19" s="49">
        <v>20</v>
      </c>
    </row>
    <row r="20" spans="1:3" ht="14.5" x14ac:dyDescent="0.35">
      <c r="A20" s="32">
        <v>44935</v>
      </c>
      <c r="B20" s="17" t="s">
        <v>157</v>
      </c>
      <c r="C20" s="49">
        <v>30</v>
      </c>
    </row>
    <row r="21" spans="1:3" ht="14.5" x14ac:dyDescent="0.35">
      <c r="A21" s="32">
        <v>44936</v>
      </c>
      <c r="B21" s="17" t="s">
        <v>158</v>
      </c>
      <c r="C21" s="49">
        <v>20</v>
      </c>
    </row>
    <row r="22" spans="1:3" ht="14.5" x14ac:dyDescent="0.3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7" zoomScaleNormal="100" workbookViewId="0">
      <selection activeCell="C24" sqref="C24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</row>
    <row r="5" spans="1:14" ht="18.5" x14ac:dyDescent="0.45">
      <c r="A5" s="43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51" t="s">
        <v>176</v>
      </c>
      <c r="B9" s="52" t="s">
        <v>89</v>
      </c>
      <c r="C9" s="52" t="s">
        <v>90</v>
      </c>
      <c r="D9" s="52" t="s">
        <v>91</v>
      </c>
      <c r="E9" s="52" t="s">
        <v>92</v>
      </c>
      <c r="F9" s="52" t="s">
        <v>93</v>
      </c>
      <c r="G9" s="52" t="s">
        <v>94</v>
      </c>
      <c r="H9" s="52" t="s">
        <v>95</v>
      </c>
      <c r="I9" s="52" t="s">
        <v>96</v>
      </c>
      <c r="J9" s="53" t="s">
        <v>97</v>
      </c>
      <c r="M9" s="57" t="s">
        <v>43</v>
      </c>
      <c r="N9" s="58" t="s">
        <v>99</v>
      </c>
    </row>
    <row r="10" spans="1:14" ht="14.5" x14ac:dyDescent="0.35">
      <c r="A10" s="50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8">
        <v>525</v>
      </c>
      <c r="M10" s="8">
        <v>10100</v>
      </c>
      <c r="N10" s="7" t="s">
        <v>89</v>
      </c>
    </row>
    <row r="11" spans="1:14" ht="14.5" x14ac:dyDescent="0.35">
      <c r="A11" s="50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8">
        <v>430</v>
      </c>
      <c r="M11" s="8">
        <v>10102</v>
      </c>
      <c r="N11" s="7" t="s">
        <v>90</v>
      </c>
    </row>
    <row r="12" spans="1:14" ht="14.5" x14ac:dyDescent="0.35">
      <c r="A12" s="50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8">
        <v>400</v>
      </c>
      <c r="M12" s="8">
        <v>10104</v>
      </c>
      <c r="N12" s="7" t="s">
        <v>91</v>
      </c>
    </row>
    <row r="13" spans="1:14" ht="14.5" x14ac:dyDescent="0.35">
      <c r="A13" s="50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8">
        <v>340</v>
      </c>
      <c r="M13" s="8">
        <v>10106</v>
      </c>
      <c r="N13" s="7" t="s">
        <v>92</v>
      </c>
    </row>
    <row r="14" spans="1:14" ht="14.5" x14ac:dyDescent="0.35">
      <c r="A14" s="50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8">
        <v>270</v>
      </c>
      <c r="M14" s="8">
        <v>10108</v>
      </c>
      <c r="N14" s="7" t="s">
        <v>93</v>
      </c>
    </row>
    <row r="15" spans="1:14" ht="14.5" x14ac:dyDescent="0.35">
      <c r="A15" s="50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8">
        <v>220</v>
      </c>
      <c r="M15" s="8">
        <v>10110</v>
      </c>
      <c r="N15" s="7" t="s">
        <v>94</v>
      </c>
    </row>
    <row r="16" spans="1:14" ht="14.5" x14ac:dyDescent="0.35">
      <c r="A16" s="50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8">
        <v>105</v>
      </c>
      <c r="M16" s="8">
        <v>10112</v>
      </c>
      <c r="N16" s="7" t="s">
        <v>95</v>
      </c>
    </row>
    <row r="17" spans="1:14" ht="14.5" x14ac:dyDescent="0.35">
      <c r="A17" s="50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8">
        <v>40</v>
      </c>
      <c r="M17" s="8">
        <v>10114</v>
      </c>
      <c r="N17" s="7" t="s">
        <v>96</v>
      </c>
    </row>
    <row r="18" spans="1:14" ht="14.5" x14ac:dyDescent="0.35">
      <c r="A18" s="54" t="s">
        <v>97</v>
      </c>
      <c r="B18" s="55">
        <v>525</v>
      </c>
      <c r="C18" s="55">
        <v>430</v>
      </c>
      <c r="D18" s="55">
        <v>400</v>
      </c>
      <c r="E18" s="55">
        <v>340</v>
      </c>
      <c r="F18" s="55">
        <v>270</v>
      </c>
      <c r="G18" s="55">
        <v>220</v>
      </c>
      <c r="H18" s="55">
        <v>105</v>
      </c>
      <c r="I18" s="55">
        <v>40</v>
      </c>
      <c r="J18" s="56">
        <v>-1</v>
      </c>
      <c r="M18" s="8">
        <v>10116</v>
      </c>
      <c r="N18" s="7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 ca="1">VLOOKUP(C23, TableC, 2, FALSE)</f>
        <v>0</v>
      </c>
    </row>
    <row r="24" spans="1:14" ht="14.5" x14ac:dyDescent="0.35">
      <c r="A24" s="7">
        <v>10100</v>
      </c>
      <c r="B24" s="12">
        <v>10104</v>
      </c>
      <c r="C24" s="44" t="e">
        <f>VLOOKUP(A1, TableC, 2, FALSE)</f>
        <v>#NAME?</v>
      </c>
    </row>
    <row r="25" spans="1:14" ht="14.5" x14ac:dyDescent="0.35">
      <c r="A25" s="7">
        <v>10108</v>
      </c>
      <c r="B25" s="12">
        <v>10102</v>
      </c>
      <c r="C25" s="44"/>
    </row>
    <row r="26" spans="1:14" ht="14.5" x14ac:dyDescent="0.35">
      <c r="A26" s="7">
        <v>10100</v>
      </c>
      <c r="B26" s="12">
        <v>10106</v>
      </c>
      <c r="C26" s="44"/>
    </row>
    <row r="27" spans="1:14" ht="14.5" x14ac:dyDescent="0.35">
      <c r="A27" s="7">
        <v>10108</v>
      </c>
      <c r="B27" s="12">
        <v>10110</v>
      </c>
      <c r="C27" s="44"/>
    </row>
    <row r="28" spans="1:14" ht="14.5" x14ac:dyDescent="0.35">
      <c r="A28" s="7">
        <v>10102</v>
      </c>
      <c r="B28" s="12">
        <v>10104</v>
      </c>
      <c r="C28" s="44"/>
    </row>
    <row r="29" spans="1:14" ht="14.5" x14ac:dyDescent="0.35">
      <c r="A29" s="7">
        <v>10106</v>
      </c>
      <c r="B29" s="12">
        <v>10108</v>
      </c>
      <c r="C29" s="44"/>
    </row>
    <row r="30" spans="1:14" ht="14.5" x14ac:dyDescent="0.35">
      <c r="A30" s="7">
        <v>10102</v>
      </c>
      <c r="B30" s="12">
        <v>10106</v>
      </c>
      <c r="C30" s="44"/>
    </row>
    <row r="31" spans="1:14" ht="14.5" x14ac:dyDescent="0.35">
      <c r="A31" s="7">
        <v>10110</v>
      </c>
      <c r="B31" s="12">
        <v>10114</v>
      </c>
      <c r="C31" s="44"/>
    </row>
    <row r="32" spans="1:14" ht="14.5" x14ac:dyDescent="0.35">
      <c r="A32" s="7">
        <v>10104</v>
      </c>
      <c r="B32" s="12">
        <v>10106</v>
      </c>
      <c r="C32" s="44"/>
    </row>
    <row r="33" spans="1:3" ht="14.5" x14ac:dyDescent="0.35">
      <c r="A33" s="7">
        <v>10110</v>
      </c>
      <c r="B33" s="12">
        <v>10112</v>
      </c>
      <c r="C33" s="44"/>
    </row>
    <row r="34" spans="1:3" ht="14.5" x14ac:dyDescent="0.35">
      <c r="A34" s="7">
        <v>10100</v>
      </c>
      <c r="B34" s="12">
        <v>10114</v>
      </c>
      <c r="C34" s="44"/>
    </row>
    <row r="35" spans="1:3" ht="14.5" x14ac:dyDescent="0.35">
      <c r="A35" s="9">
        <v>10112</v>
      </c>
      <c r="B35" s="13">
        <v>10116</v>
      </c>
      <c r="C35" s="45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Ritika Singh</cp:lastModifiedBy>
  <dcterms:created xsi:type="dcterms:W3CDTF">2015-02-10T17:33:11Z</dcterms:created>
  <dcterms:modified xsi:type="dcterms:W3CDTF">2023-12-10T17:21:49Z</dcterms:modified>
</cp:coreProperties>
</file>